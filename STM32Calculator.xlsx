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WorkSpace\Data\StudyNotes\软件\STM32学习笔记\"/>
    </mc:Choice>
  </mc:AlternateContent>
  <xr:revisionPtr revIDLastSave="0" documentId="13_ncr:1_{3B247C08-E6F1-4DFE-8F3C-9A9DA05A12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r" sheetId="1" r:id="rId1"/>
    <sheet name="后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  <c r="B41" i="1"/>
  <c r="B30" i="1"/>
  <c r="B31" i="1" s="1"/>
  <c r="B37" i="1"/>
  <c r="C37" i="1" s="1"/>
  <c r="B36" i="1"/>
  <c r="C36" i="1" s="1"/>
  <c r="B35" i="1"/>
  <c r="C35" i="1" s="1"/>
  <c r="C34" i="1"/>
  <c r="B11" i="1"/>
  <c r="B10" i="1"/>
  <c r="B27" i="1"/>
  <c r="F5" i="1"/>
  <c r="F4" i="1"/>
  <c r="B15" i="1"/>
  <c r="B17" i="1" s="1"/>
  <c r="B19" i="1" s="1"/>
  <c r="B20" i="1" s="1"/>
  <c r="B24" i="1" s="1"/>
  <c r="B39" i="1" l="1"/>
  <c r="B40" i="1" s="1"/>
  <c r="B16" i="1"/>
  <c r="B21" i="1"/>
  <c r="B25" i="1" s="1"/>
  <c r="B23" i="1"/>
</calcChain>
</file>

<file path=xl/sharedStrings.xml><?xml version="1.0" encoding="utf-8"?>
<sst xmlns="http://schemas.openxmlformats.org/spreadsheetml/2006/main" count="71" uniqueCount="55">
  <si>
    <t>计数周期(Counter Period )</t>
    <phoneticPr fontId="1" type="noConversion"/>
  </si>
  <si>
    <t>分频系数(Prescaler)</t>
    <phoneticPr fontId="1" type="noConversion"/>
  </si>
  <si>
    <t>名称</t>
    <phoneticPr fontId="1" type="noConversion"/>
  </si>
  <si>
    <t>值</t>
    <phoneticPr fontId="1" type="noConversion"/>
  </si>
  <si>
    <t>Mhz</t>
    <phoneticPr fontId="1" type="noConversion"/>
  </si>
  <si>
    <t>周期</t>
    <phoneticPr fontId="1" type="noConversion"/>
  </si>
  <si>
    <t>频率</t>
    <phoneticPr fontId="1" type="noConversion"/>
  </si>
  <si>
    <t>us</t>
    <phoneticPr fontId="1" type="noConversion"/>
  </si>
  <si>
    <t>Hz</t>
    <phoneticPr fontId="1" type="noConversion"/>
  </si>
  <si>
    <t>设计目标值</t>
    <phoneticPr fontId="1" type="noConversion"/>
  </si>
  <si>
    <t>计算结果</t>
    <phoneticPr fontId="1" type="noConversion"/>
  </si>
  <si>
    <t>ms</t>
    <phoneticPr fontId="1" type="noConversion"/>
  </si>
  <si>
    <t>计数器计数一次的时间</t>
    <phoneticPr fontId="1" type="noConversion"/>
  </si>
  <si>
    <t>备注</t>
    <phoneticPr fontId="1" type="noConversion"/>
  </si>
  <si>
    <t>外设总线时钟(APB)</t>
    <phoneticPr fontId="1" type="noConversion"/>
  </si>
  <si>
    <t>自动重装载寄存器ARR</t>
    <phoneticPr fontId="1" type="noConversion"/>
  </si>
  <si>
    <t xml:space="preserve"> 预分频寄存器PSC</t>
    <phoneticPr fontId="1" type="noConversion"/>
  </si>
  <si>
    <t>比较寄存器值 COMPARE</t>
    <phoneticPr fontId="1" type="noConversion"/>
  </si>
  <si>
    <t>Khz</t>
    <phoneticPr fontId="1" type="noConversion"/>
  </si>
  <si>
    <t>s</t>
    <phoneticPr fontId="1" type="noConversion"/>
  </si>
  <si>
    <t>占空比</t>
    <phoneticPr fontId="1" type="noConversion"/>
  </si>
  <si>
    <t>%</t>
    <phoneticPr fontId="1" type="noConversion"/>
  </si>
  <si>
    <t>捕获/比较寄存器CCR</t>
    <phoneticPr fontId="1" type="noConversion"/>
  </si>
  <si>
    <t xml:space="preserve">TIM_Period </t>
  </si>
  <si>
    <t xml:space="preserve">TIM_Prescaler </t>
    <phoneticPr fontId="1" type="noConversion"/>
  </si>
  <si>
    <t>Mhz APB timer clocks</t>
    <phoneticPr fontId="1" type="noConversion"/>
  </si>
  <si>
    <t>STM32F103</t>
    <phoneticPr fontId="1" type="noConversion"/>
  </si>
  <si>
    <t>STM32F407</t>
    <phoneticPr fontId="1" type="noConversion"/>
  </si>
  <si>
    <t>STM32H750</t>
    <phoneticPr fontId="1" type="noConversion"/>
  </si>
  <si>
    <t>STM32G431</t>
    <phoneticPr fontId="1" type="noConversion"/>
  </si>
  <si>
    <t>芯片型号</t>
    <phoneticPr fontId="1" type="noConversion"/>
  </si>
  <si>
    <t>位宽bits</t>
    <phoneticPr fontId="1" type="noConversion"/>
  </si>
  <si>
    <t>最大值</t>
    <phoneticPr fontId="1" type="noConversion"/>
  </si>
  <si>
    <t>寄存器位宽</t>
    <phoneticPr fontId="1" type="noConversion"/>
  </si>
  <si>
    <t>输入检查</t>
    <phoneticPr fontId="1" type="noConversion"/>
  </si>
  <si>
    <t>填入代码或者CubeMX中(选择下拉单元格右键复制)</t>
    <phoneticPr fontId="1" type="noConversion"/>
  </si>
  <si>
    <t>死区时间DT</t>
    <phoneticPr fontId="1" type="noConversion"/>
  </si>
  <si>
    <r>
      <t>定时器的时钟周期T</t>
    </r>
    <r>
      <rPr>
        <vertAlign val="subscript"/>
        <sz val="11"/>
        <color theme="1"/>
        <rFont val="等线"/>
        <family val="3"/>
        <charset val="134"/>
        <scheme val="minor"/>
      </rPr>
      <t>DTS</t>
    </r>
    <phoneticPr fontId="1" type="noConversion"/>
  </si>
  <si>
    <t>步长Tdtg</t>
    <phoneticPr fontId="1" type="noConversion"/>
  </si>
  <si>
    <t>Internal Clock Division</t>
    <phoneticPr fontId="1" type="noConversion"/>
  </si>
  <si>
    <t xml:space="preserve">Internal Clock Division </t>
    <phoneticPr fontId="1" type="noConversion"/>
  </si>
  <si>
    <t>定时器的分频因子CKD</t>
    <phoneticPr fontId="1" type="noConversion"/>
  </si>
  <si>
    <t>定时器时钟频率</t>
    <phoneticPr fontId="1" type="noConversion"/>
  </si>
  <si>
    <t>死区时间DTG</t>
    <phoneticPr fontId="1" type="noConversion"/>
  </si>
  <si>
    <t>DTG[7:0]</t>
    <phoneticPr fontId="1" type="noConversion"/>
  </si>
  <si>
    <t>DTG[7:5]</t>
    <phoneticPr fontId="1" type="noConversion"/>
  </si>
  <si>
    <t>二进制</t>
    <phoneticPr fontId="1" type="noConversion"/>
  </si>
  <si>
    <t>十进制</t>
    <phoneticPr fontId="1" type="noConversion"/>
  </si>
  <si>
    <t>DTG[5:0]</t>
    <phoneticPr fontId="1" type="noConversion"/>
  </si>
  <si>
    <t>DTG[4:0]</t>
    <phoneticPr fontId="1" type="noConversion"/>
  </si>
  <si>
    <t>DTG二进制拆分</t>
    <phoneticPr fontId="1" type="noConversion"/>
  </si>
  <si>
    <t>ns</t>
    <phoneticPr fontId="1" type="noConversion"/>
  </si>
  <si>
    <t>为手动填入的值</t>
    <phoneticPr fontId="1" type="noConversion"/>
  </si>
  <si>
    <t>死区时间占空比</t>
    <phoneticPr fontId="1" type="noConversion"/>
  </si>
  <si>
    <t>DTG[7:0]对应cubemx的Dead Time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</si>
</sst>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4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20" fontId="0" fillId="0" borderId="0" xfId="0" applyNumberForma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tabSelected="1" zoomScale="130" zoomScaleNormal="130" workbookViewId="0">
      <selection activeCell="I22" sqref="I22"/>
    </sheetView>
  </sheetViews>
  <sheetFormatPr defaultRowHeight="14.25" x14ac:dyDescent="0.2"/>
  <cols>
    <col min="1" max="1" width="22.5" style="1" customWidth="1"/>
    <col min="2" max="2" width="15.875" style="1" customWidth="1"/>
    <col min="3" max="3" width="21.25" style="1" customWidth="1"/>
    <col min="4" max="5" width="9" style="1"/>
    <col min="6" max="6" width="7.125" style="1" customWidth="1"/>
    <col min="7" max="8" width="9" style="1"/>
    <col min="9" max="9" width="12.25" style="1" customWidth="1"/>
    <col min="10" max="11" width="9" style="1"/>
    <col min="12" max="12" width="13.5" style="1" customWidth="1"/>
    <col min="13" max="16384" width="9" style="1"/>
  </cols>
  <sheetData>
    <row r="1" spans="1:13" x14ac:dyDescent="0.2">
      <c r="A1" s="6" t="s">
        <v>9</v>
      </c>
      <c r="B1" s="6"/>
      <c r="C1" s="6"/>
      <c r="L1" s="1" t="s">
        <v>30</v>
      </c>
    </row>
    <row r="2" spans="1:13" s="2" customFormat="1" x14ac:dyDescent="0.2">
      <c r="A2" s="3" t="s">
        <v>2</v>
      </c>
      <c r="B2" s="3" t="s">
        <v>3</v>
      </c>
      <c r="C2" s="3" t="s">
        <v>13</v>
      </c>
      <c r="E2" s="7" t="s">
        <v>34</v>
      </c>
      <c r="F2" s="8"/>
      <c r="H2" s="1"/>
      <c r="I2" s="1"/>
      <c r="L2" t="s">
        <v>28</v>
      </c>
      <c r="M2" s="1">
        <v>480</v>
      </c>
    </row>
    <row r="3" spans="1:13" x14ac:dyDescent="0.2">
      <c r="A3" s="1" t="s">
        <v>14</v>
      </c>
      <c r="B3" s="9">
        <v>72</v>
      </c>
      <c r="C3" s="1" t="s">
        <v>25</v>
      </c>
      <c r="E3" s="1" t="s">
        <v>31</v>
      </c>
      <c r="F3" s="1" t="s">
        <v>32</v>
      </c>
      <c r="L3" t="s">
        <v>29</v>
      </c>
      <c r="M3" s="1">
        <v>168</v>
      </c>
    </row>
    <row r="4" spans="1:13" x14ac:dyDescent="0.2">
      <c r="A4" s="1" t="s">
        <v>1</v>
      </c>
      <c r="B4" s="9">
        <v>720</v>
      </c>
      <c r="C4" s="1" t="s">
        <v>16</v>
      </c>
      <c r="E4" s="1">
        <v>16</v>
      </c>
      <c r="F4" s="1">
        <f>2^E4-1</f>
        <v>65535</v>
      </c>
      <c r="L4" t="s">
        <v>27</v>
      </c>
      <c r="M4" s="1">
        <v>168</v>
      </c>
    </row>
    <row r="5" spans="1:13" x14ac:dyDescent="0.2">
      <c r="A5" s="1" t="s">
        <v>0</v>
      </c>
      <c r="B5" s="9">
        <v>1000</v>
      </c>
      <c r="C5" s="1" t="s">
        <v>15</v>
      </c>
      <c r="E5" s="1">
        <v>16</v>
      </c>
      <c r="F5" s="1">
        <f>2^E5-1</f>
        <v>65535</v>
      </c>
      <c r="L5" t="s">
        <v>26</v>
      </c>
      <c r="M5" s="1">
        <v>72</v>
      </c>
    </row>
    <row r="6" spans="1:13" x14ac:dyDescent="0.2">
      <c r="A6" s="1" t="s">
        <v>17</v>
      </c>
      <c r="B6" s="9">
        <v>500</v>
      </c>
      <c r="C6" s="1" t="s">
        <v>22</v>
      </c>
      <c r="E6" s="1">
        <v>16</v>
      </c>
      <c r="F6" s="1">
        <f>2^E6-1</f>
        <v>65535</v>
      </c>
    </row>
    <row r="7" spans="1:13" x14ac:dyDescent="0.2">
      <c r="A7" s="1" t="s">
        <v>41</v>
      </c>
      <c r="B7" s="9">
        <v>4</v>
      </c>
      <c r="C7" s="1" t="s">
        <v>39</v>
      </c>
    </row>
    <row r="9" spans="1:13" x14ac:dyDescent="0.2">
      <c r="A9" s="6" t="s">
        <v>35</v>
      </c>
      <c r="B9" s="6"/>
      <c r="C9" s="6"/>
      <c r="E9" s="1" t="s">
        <v>13</v>
      </c>
    </row>
    <row r="10" spans="1:13" x14ac:dyDescent="0.2">
      <c r="A10" s="1" t="s">
        <v>1</v>
      </c>
      <c r="B10" s="1">
        <f>B4-1</f>
        <v>719</v>
      </c>
      <c r="C10" s="1" t="s">
        <v>23</v>
      </c>
      <c r="E10" s="9"/>
      <c r="F10" s="10" t="s">
        <v>52</v>
      </c>
      <c r="G10" s="10"/>
    </row>
    <row r="11" spans="1:13" x14ac:dyDescent="0.2">
      <c r="A11" s="1" t="s">
        <v>0</v>
      </c>
      <c r="B11" s="1">
        <f>B5-1</f>
        <v>999</v>
      </c>
      <c r="C11" s="1" t="s">
        <v>24</v>
      </c>
    </row>
    <row r="12" spans="1:13" customFormat="1" x14ac:dyDescent="0.2">
      <c r="D12" s="1"/>
      <c r="E12" s="1"/>
      <c r="F12" s="1"/>
      <c r="G12" s="1"/>
      <c r="H12" s="1"/>
      <c r="I12" s="1"/>
      <c r="J12" s="1"/>
    </row>
    <row r="14" spans="1:13" x14ac:dyDescent="0.2">
      <c r="A14" s="6" t="s">
        <v>10</v>
      </c>
      <c r="B14" s="6"/>
      <c r="C14" s="6"/>
    </row>
    <row r="15" spans="1:13" x14ac:dyDescent="0.2">
      <c r="A15" s="1" t="s">
        <v>42</v>
      </c>
      <c r="B15" s="1">
        <f xml:space="preserve"> B3/B4</f>
        <v>0.1</v>
      </c>
      <c r="C15" s="1" t="s">
        <v>4</v>
      </c>
    </row>
    <row r="16" spans="1:13" x14ac:dyDescent="0.2">
      <c r="B16" s="1">
        <f>B15*1000</f>
        <v>100</v>
      </c>
      <c r="C16" s="1" t="s">
        <v>8</v>
      </c>
    </row>
    <row r="17" spans="1:3" x14ac:dyDescent="0.2">
      <c r="A17" s="1" t="s">
        <v>12</v>
      </c>
      <c r="B17" s="1">
        <f>1/B15</f>
        <v>10</v>
      </c>
      <c r="C17" s="1" t="s">
        <v>7</v>
      </c>
    </row>
    <row r="19" spans="1:3" x14ac:dyDescent="0.2">
      <c r="A19" s="4" t="s">
        <v>5</v>
      </c>
      <c r="B19" s="1">
        <f>B17*B5</f>
        <v>10000</v>
      </c>
      <c r="C19" s="1" t="s">
        <v>7</v>
      </c>
    </row>
    <row r="20" spans="1:3" x14ac:dyDescent="0.2">
      <c r="B20" s="1">
        <f>B19/1000</f>
        <v>10</v>
      </c>
      <c r="C20" s="1" t="s">
        <v>11</v>
      </c>
    </row>
    <row r="21" spans="1:3" x14ac:dyDescent="0.2">
      <c r="B21" s="1">
        <f>B20/1000</f>
        <v>0.01</v>
      </c>
      <c r="C21" s="1" t="s">
        <v>19</v>
      </c>
    </row>
    <row r="23" spans="1:3" x14ac:dyDescent="0.2">
      <c r="A23" s="4" t="s">
        <v>6</v>
      </c>
      <c r="B23" s="1">
        <f>1/B19</f>
        <v>1E-4</v>
      </c>
      <c r="C23" s="1" t="s">
        <v>4</v>
      </c>
    </row>
    <row r="24" spans="1:3" x14ac:dyDescent="0.2">
      <c r="B24" s="1">
        <f>1/B20</f>
        <v>0.1</v>
      </c>
      <c r="C24" s="1" t="s">
        <v>18</v>
      </c>
    </row>
    <row r="25" spans="1:3" x14ac:dyDescent="0.2">
      <c r="B25" s="1">
        <f>1/B21</f>
        <v>100</v>
      </c>
      <c r="C25" s="1" t="s">
        <v>8</v>
      </c>
    </row>
    <row r="27" spans="1:3" x14ac:dyDescent="0.2">
      <c r="A27" s="4" t="s">
        <v>20</v>
      </c>
      <c r="B27" s="1">
        <f>B6/(B5-1)*100</f>
        <v>50.050050050050054</v>
      </c>
      <c r="C27" s="1" t="s">
        <v>21</v>
      </c>
    </row>
    <row r="29" spans="1:3" x14ac:dyDescent="0.2">
      <c r="A29" s="6" t="s">
        <v>43</v>
      </c>
      <c r="B29" s="6"/>
      <c r="C29" s="6"/>
    </row>
    <row r="30" spans="1:3" ht="17.25" x14ac:dyDescent="0.3">
      <c r="A30" s="1" t="s">
        <v>37</v>
      </c>
      <c r="B30" s="1">
        <f>1/(B3/B7)</f>
        <v>5.5555555555555552E-2</v>
      </c>
      <c r="C30" s="1" t="s">
        <v>7</v>
      </c>
    </row>
    <row r="31" spans="1:3" ht="17.25" x14ac:dyDescent="0.3">
      <c r="B31" s="1">
        <f>B30*1000</f>
        <v>55.55555555555555</v>
      </c>
      <c r="C31" s="1" t="s">
        <v>51</v>
      </c>
    </row>
    <row r="32" spans="1:3" ht="17.25" x14ac:dyDescent="0.3"/>
    <row r="33" spans="1:7" x14ac:dyDescent="0.2">
      <c r="A33" s="1" t="s">
        <v>50</v>
      </c>
      <c r="B33" s="1" t="s">
        <v>47</v>
      </c>
      <c r="C33" s="1" t="s">
        <v>46</v>
      </c>
    </row>
    <row r="34" spans="1:7" x14ac:dyDescent="0.2">
      <c r="A34" s="5" t="s">
        <v>44</v>
      </c>
      <c r="B34" s="9">
        <v>255</v>
      </c>
      <c r="C34" s="1" t="str">
        <f>DEC2BIN(B34,8)</f>
        <v>11111111</v>
      </c>
      <c r="D34" s="10" t="s">
        <v>54</v>
      </c>
      <c r="E34" s="10"/>
      <c r="F34" s="10"/>
      <c r="G34" s="10"/>
    </row>
    <row r="35" spans="1:7" x14ac:dyDescent="0.2">
      <c r="A35" s="5" t="s">
        <v>45</v>
      </c>
      <c r="B35" s="1">
        <f>INT(B34/32)</f>
        <v>7</v>
      </c>
      <c r="C35" s="1" t="str">
        <f>DEC2BIN(B35,3)</f>
        <v>111</v>
      </c>
    </row>
    <row r="36" spans="1:7" x14ac:dyDescent="0.2">
      <c r="A36" s="5" t="s">
        <v>49</v>
      </c>
      <c r="B36" s="1">
        <f>MOD(B34,32)</f>
        <v>31</v>
      </c>
      <c r="C36" s="1" t="str">
        <f>DEC2BIN(B36,5)</f>
        <v>11111</v>
      </c>
    </row>
    <row r="37" spans="1:7" x14ac:dyDescent="0.2">
      <c r="A37" s="5" t="s">
        <v>48</v>
      </c>
      <c r="B37" s="1">
        <f>MOD(B34,64)</f>
        <v>63</v>
      </c>
      <c r="C37" s="1" t="str">
        <f>DEC2BIN(B37,6)</f>
        <v>111111</v>
      </c>
    </row>
    <row r="38" spans="1:7" x14ac:dyDescent="0.2">
      <c r="A38" s="5"/>
    </row>
    <row r="39" spans="1:7" x14ac:dyDescent="0.2">
      <c r="A39" s="5" t="s">
        <v>38</v>
      </c>
      <c r="B39" s="1">
        <f>IF(B35&lt;4,
    B30,
    IF(B35&lt;6,
        2*B30,
        IF(B35=6,
            8*B30,
            16*B30
        )
    )
)</f>
        <v>0.88888888888888884</v>
      </c>
    </row>
    <row r="40" spans="1:7" x14ac:dyDescent="0.2">
      <c r="A40" s="1" t="s">
        <v>36</v>
      </c>
      <c r="B40" s="1">
        <f>IF(B35&lt;4,
    B34*B39,
    IF(B35&lt;6,
        (64+B37)*B39,
        IF(B35=6,
            (32+B36)*B39,
            (32+B36)*B39
        )
    )
)</f>
        <v>56</v>
      </c>
      <c r="C40" s="1" t="s">
        <v>7</v>
      </c>
    </row>
    <row r="41" spans="1:7" x14ac:dyDescent="0.2">
      <c r="A41" s="1" t="s">
        <v>53</v>
      </c>
      <c r="B41" s="1">
        <f>B40/B19*100</f>
        <v>0.55999999999999994</v>
      </c>
      <c r="C41" s="1" t="s">
        <v>21</v>
      </c>
    </row>
  </sheetData>
  <mergeCells count="7">
    <mergeCell ref="D34:G34"/>
    <mergeCell ref="A29:C29"/>
    <mergeCell ref="A9:C9"/>
    <mergeCell ref="A1:C1"/>
    <mergeCell ref="A14:C14"/>
    <mergeCell ref="E2:F2"/>
    <mergeCell ref="F10:G10"/>
  </mergeCells>
  <phoneticPr fontId="1" type="noConversion"/>
  <dataValidations disablePrompts="1" count="3">
    <dataValidation type="list" allowBlank="1" showInputMessage="1" showErrorMessage="1" sqref="I2" xr:uid="{D0FBCB71-0821-4366-AB47-1B4DE4902D4D}">
      <formula1>$L$2:$L$5</formula1>
    </dataValidation>
    <dataValidation type="whole" allowBlank="1" showInputMessage="1" showErrorMessage="1" error="Dead Time Dead Time must be between 0 and 255." sqref="B34" xr:uid="{9F49BCE8-E616-49BD-8904-B581A378A9D0}">
      <formula1>0</formula1>
      <formula2>255</formula2>
    </dataValidation>
    <dataValidation type="whole" allowBlank="1" showInputMessage="1" showErrorMessage="1" sqref="B4 B5" xr:uid="{B945191C-BD05-46F1-897B-C4867D966C0D}">
      <formula1>0</formula1>
      <formula2>F4</formula2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F5672D27-9254-45E2-BFDE-E5BF7A01FAD8}">
          <x14:formula1>
            <xm:f>后台!$A$2:$A$3</xm:f>
          </x14:formula1>
          <xm:sqref>E4:E5 E6</xm:sqref>
        </x14:dataValidation>
        <x14:dataValidation type="list" allowBlank="1" showInputMessage="1" showErrorMessage="1" xr:uid="{69B4B734-10F6-4D53-A30A-7DADA05F4575}">
          <x14:formula1>
            <xm:f>后台!$A$6:$A$8</xm:f>
          </x14:formula1>
          <xm:sqref>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D60F2-0E0A-47CB-8696-C3D6D51B97D7}">
  <dimension ref="A1:F20"/>
  <sheetViews>
    <sheetView zoomScale="205" zoomScaleNormal="205" workbookViewId="0">
      <selection activeCell="B13" sqref="B13"/>
    </sheetView>
  </sheetViews>
  <sheetFormatPr defaultRowHeight="14.25" x14ac:dyDescent="0.2"/>
  <cols>
    <col min="1" max="1" width="18.125" customWidth="1"/>
  </cols>
  <sheetData>
    <row r="1" spans="1:6" x14ac:dyDescent="0.2">
      <c r="A1" s="1" t="s">
        <v>33</v>
      </c>
    </row>
    <row r="2" spans="1:6" x14ac:dyDescent="0.2">
      <c r="A2" s="1">
        <v>16</v>
      </c>
    </row>
    <row r="3" spans="1:6" x14ac:dyDescent="0.2">
      <c r="A3" s="1">
        <v>32</v>
      </c>
    </row>
    <row r="4" spans="1:6" x14ac:dyDescent="0.2">
      <c r="A4" s="1"/>
    </row>
    <row r="5" spans="1:6" x14ac:dyDescent="0.2">
      <c r="A5" t="s">
        <v>40</v>
      </c>
    </row>
    <row r="6" spans="1:6" x14ac:dyDescent="0.2">
      <c r="A6" s="1">
        <v>1</v>
      </c>
    </row>
    <row r="7" spans="1:6" x14ac:dyDescent="0.2">
      <c r="A7" s="1">
        <v>2</v>
      </c>
    </row>
    <row r="8" spans="1:6" x14ac:dyDescent="0.2">
      <c r="A8" s="1">
        <v>4</v>
      </c>
      <c r="B8" s="1"/>
      <c r="C8" s="1"/>
      <c r="D8" s="1"/>
      <c r="E8" s="1"/>
      <c r="F8" s="1"/>
    </row>
    <row r="9" spans="1:6" x14ac:dyDescent="0.2">
      <c r="A9" s="1"/>
      <c r="B9" s="1"/>
      <c r="C9" s="1"/>
      <c r="D9" s="1"/>
      <c r="E9" s="1"/>
      <c r="F9" s="1"/>
    </row>
    <row r="10" spans="1:6" x14ac:dyDescent="0.2">
      <c r="A10" s="1"/>
      <c r="B10" s="1"/>
      <c r="C10" s="1"/>
      <c r="D10" s="1"/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 t="s">
        <v>30</v>
      </c>
      <c r="F14" s="1"/>
    </row>
    <row r="15" spans="1:6" x14ac:dyDescent="0.2">
      <c r="A15" s="1" t="s">
        <v>30</v>
      </c>
      <c r="B15" s="1" t="s">
        <v>26</v>
      </c>
      <c r="C15" s="2"/>
      <c r="D15" s="2"/>
      <c r="E15" t="s">
        <v>28</v>
      </c>
      <c r="F15" s="2"/>
    </row>
    <row r="16" spans="1:6" x14ac:dyDescent="0.2">
      <c r="A16" s="1"/>
      <c r="B16" s="1"/>
      <c r="C16" s="1"/>
      <c r="D16" s="1"/>
      <c r="E16" t="s">
        <v>29</v>
      </c>
      <c r="F16" s="1">
        <v>168</v>
      </c>
    </row>
    <row r="17" spans="1:6" x14ac:dyDescent="0.2">
      <c r="A17" s="1"/>
      <c r="B17" s="1"/>
      <c r="C17" s="1"/>
      <c r="D17" s="1"/>
      <c r="E17" t="s">
        <v>27</v>
      </c>
      <c r="F17" s="1">
        <v>72</v>
      </c>
    </row>
    <row r="18" spans="1:6" x14ac:dyDescent="0.2">
      <c r="A18" s="1"/>
      <c r="B18" s="1"/>
      <c r="C18" s="1"/>
      <c r="D18" s="1"/>
      <c r="E18" t="s">
        <v>26</v>
      </c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1"/>
      <c r="C20" s="1"/>
      <c r="D20" s="1"/>
      <c r="E20" s="1"/>
      <c r="F20" s="1"/>
    </row>
  </sheetData>
  <phoneticPr fontId="1" type="noConversion"/>
  <dataValidations count="1">
    <dataValidation type="list" allowBlank="1" showInputMessage="1" showErrorMessage="1" sqref="B15" xr:uid="{BD91910A-9494-4A2F-B73E-F435B9ECD8BF}">
      <formula1>$L$15:$L$18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Timer</vt:lpstr>
      <vt:lpstr>后台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 Kyro</dc:creator>
  <cp:lastModifiedBy>Qu Kyro</cp:lastModifiedBy>
  <dcterms:created xsi:type="dcterms:W3CDTF">2015-06-05T18:17:20Z</dcterms:created>
  <dcterms:modified xsi:type="dcterms:W3CDTF">2026-01-10T22:37:22Z</dcterms:modified>
</cp:coreProperties>
</file>